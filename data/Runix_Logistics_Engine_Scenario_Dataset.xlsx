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Summary" sheetId="1" state="visible" r:id="rId1"/>
    <sheet xmlns:r="http://schemas.openxmlformats.org/officeDocument/2006/relationships" name="Orders Data" sheetId="2" state="visible" r:id="rId2"/>
    <sheet xmlns:r="http://schemas.openxmlformats.org/officeDocument/2006/relationships" name="Integrate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&quot; hrs&quot;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5" fillId="0" borderId="2" pivotButton="0" quotePrefix="0" xfId="0"/>
    <xf numFmtId="165" fontId="4" fillId="0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5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32" customWidth="1" min="4" max="4"/>
    <col width="11" customWidth="1" min="5" max="5"/>
    <col width="32" customWidth="1" min="6" max="6"/>
    <col width="16" customWidth="1" min="7" max="7"/>
  </cols>
  <sheetData>
    <row r="1"/>
    <row r="2">
      <c r="B2" s="1" t="inlineStr">
        <is>
          <t>Logistics Decision Engine - Scenario Data</t>
        </is>
      </c>
    </row>
    <row r="3"/>
    <row r="4">
      <c r="B4" s="2" t="inlineStr">
        <is>
          <t>Engine Constants &amp; Assumptions</t>
        </is>
      </c>
      <c r="F4" s="2" t="inlineStr">
        <is>
          <t>Active Scenario Context</t>
        </is>
      </c>
    </row>
    <row r="5">
      <c r="B5" s="3" t="inlineStr">
        <is>
          <t>Parameter</t>
        </is>
      </c>
      <c r="C5" s="3" t="inlineStr">
        <is>
          <t>Value</t>
        </is>
      </c>
      <c r="D5" s="3" t="inlineStr">
        <is>
          <t>Unit / Context</t>
        </is>
      </c>
      <c r="F5" s="3" t="inlineStr">
        <is>
          <t>Variable</t>
        </is>
      </c>
      <c r="G5" s="3" t="inlineStr">
        <is>
          <t>Config Value</t>
        </is>
      </c>
    </row>
    <row r="6">
      <c r="B6" s="4" t="inlineStr">
        <is>
          <t>SHIFT_HOURS</t>
        </is>
      </c>
      <c r="C6" s="4" t="n">
        <v>8</v>
      </c>
      <c r="D6" s="4" t="inlineStr">
        <is>
          <t>Hours per driver shift</t>
        </is>
      </c>
      <c r="F6" s="4" t="inlineStr">
        <is>
          <t>Current Weather Condition</t>
        </is>
      </c>
      <c r="G6" s="4" t="inlineStr">
        <is>
          <t>heavy_snow</t>
        </is>
      </c>
    </row>
    <row r="7">
      <c r="B7" s="4" t="inlineStr">
        <is>
          <t>DELIVERIES_PER_DRIVER_PER_SHIFT</t>
        </is>
      </c>
      <c r="C7" s="4" t="n">
        <v>8</v>
      </c>
      <c r="D7" s="4" t="inlineStr">
        <is>
          <t>Target volume per driver</t>
        </is>
      </c>
      <c r="F7" s="4" t="inlineStr">
        <is>
          <t>Active Traffic/Event Severity</t>
        </is>
      </c>
      <c r="G7" s="4" t="inlineStr">
        <is>
          <t>major</t>
        </is>
      </c>
    </row>
    <row r="8">
      <c r="B8" s="4" t="inlineStr">
        <is>
          <t>EXPRESS_SLA_HOURS</t>
        </is>
      </c>
      <c r="C8" s="4" t="n">
        <v>2</v>
      </c>
      <c r="D8" s="4" t="inlineStr">
        <is>
          <t>SLA delivery window</t>
        </is>
      </c>
      <c r="F8" s="4" t="inlineStr">
        <is>
          <t>Target Order Volume</t>
        </is>
      </c>
      <c r="G8" s="4" t="n">
        <v>50</v>
      </c>
    </row>
    <row r="9">
      <c r="B9" s="4" t="inlineStr">
        <is>
          <t>STANDARD_SLA_HOURS</t>
        </is>
      </c>
      <c r="C9" s="4" t="n">
        <v>8</v>
      </c>
      <c r="D9" s="4" t="inlineStr">
        <is>
          <t>SLA delivery window</t>
        </is>
      </c>
      <c r="F9" s="4" t="inlineStr">
        <is>
          <t>Base Shift Drivers Available</t>
        </is>
      </c>
      <c r="G9" s="4" t="n">
        <v>10</v>
      </c>
    </row>
    <row r="10">
      <c r="B10" s="4" t="inlineStr">
        <is>
          <t>DRIVER_SHIFT_COST</t>
        </is>
      </c>
      <c r="C10" s="5" t="n">
        <v>120</v>
      </c>
      <c r="D10" s="4" t="inlineStr">
        <is>
          <t>Cost per driver shift ($)</t>
        </is>
      </c>
      <c r="F10" s="4" t="inlineStr">
        <is>
          <t>Express Order Tier Mix Share</t>
        </is>
      </c>
      <c r="G10" s="4" t="inlineStr">
        <is>
          <t>40.0%</t>
        </is>
      </c>
    </row>
    <row r="11">
      <c r="B11" s="4" t="inlineStr">
        <is>
          <t>EXPRESS_PENALTY</t>
        </is>
      </c>
      <c r="C11" s="5" t="n">
        <v>25</v>
      </c>
      <c r="D11" s="4" t="inlineStr">
        <is>
          <t>SLA breach penalty ($)</t>
        </is>
      </c>
      <c r="F11" s="4" t="inlineStr">
        <is>
          <t>Primary Affected Zone</t>
        </is>
      </c>
      <c r="G11" s="4" t="inlineStr">
        <is>
          <t>central</t>
        </is>
      </c>
    </row>
    <row r="12">
      <c r="B12" s="4" t="inlineStr">
        <is>
          <t>STANDARD_PENALTY</t>
        </is>
      </c>
      <c r="C12" s="5" t="n">
        <v>8</v>
      </c>
      <c r="D12" s="4" t="inlineStr">
        <is>
          <t>SLA breach penalty ($)</t>
        </is>
      </c>
      <c r="F12" s="4" t="inlineStr">
        <is>
          <t>Affected Zone Share</t>
        </is>
      </c>
      <c r="G12" s="4" t="inlineStr">
        <is>
          <t>40.0%</t>
        </is>
      </c>
    </row>
    <row r="13">
      <c r="B13" s="4" t="inlineStr">
        <is>
          <t>WEATHER_MULTIPLIER (heavy_snow)</t>
        </is>
      </c>
      <c r="C13" s="6" t="n">
        <v>0.6</v>
      </c>
      <c r="D13" s="4" t="inlineStr">
        <is>
          <t>Capacity adjustment multiplier</t>
        </is>
      </c>
    </row>
    <row r="14">
      <c r="B14" s="4" t="inlineStr">
        <is>
          <t>TRAFFIC_RISK_SCORE (major)</t>
        </is>
      </c>
      <c r="C14" s="4" t="n">
        <v>75</v>
      </c>
      <c r="D14" s="4" t="inlineStr">
        <is>
          <t>Risk index score (0-100)</t>
        </is>
      </c>
    </row>
    <row r="15">
      <c r="B15" s="4" t="inlineStr">
        <is>
          <t>WEATHER_RISK_SCORE (heavy_snow)</t>
        </is>
      </c>
      <c r="C15" s="4" t="n">
        <v>90</v>
      </c>
      <c r="D15" s="4" t="inlineStr">
        <is>
          <t>Risk index score (0-100)</t>
        </is>
      </c>
      <c r="F15" s="2" t="inlineStr">
        <is>
          <t>Live Sheet Aggregations</t>
        </is>
      </c>
    </row>
    <row r="16">
      <c r="B16" s="4" t="inlineStr">
        <is>
          <t>RISK_WEIGHTS (weather/traffic/load)</t>
        </is>
      </c>
      <c r="C16" s="4" t="inlineStr">
        <is>
          <t>40% / 30% / 30%</t>
        </is>
      </c>
      <c r="D16" s="4" t="inlineStr">
        <is>
          <t>Engine calculation weights</t>
        </is>
      </c>
      <c r="F16" s="7" t="inlineStr">
        <is>
          <t>Total Drivers On Shift</t>
        </is>
      </c>
      <c r="G16" s="8">
        <f>'Integrated Drivers'!E17</f>
        <v/>
      </c>
    </row>
    <row r="17">
      <c r="F17" s="7" t="inlineStr">
        <is>
          <t>Total Orders Tracked</t>
        </is>
      </c>
      <c r="G17" s="9">
        <f>COUNTA('Orders Data'!B5:B54)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5" customWidth="1" min="3" max="3"/>
    <col width="19" customWidth="1" min="4" max="4"/>
    <col width="28" customWidth="1" min="5" max="5"/>
    <col width="22" customWidth="1" min="6" max="6"/>
  </cols>
  <sheetData>
    <row r="1"/>
    <row r="2">
      <c r="B2" s="1" t="inlineStr">
        <is>
          <t>Active Shift Delivery Orders Ledger</t>
        </is>
      </c>
    </row>
    <row r="3"/>
    <row r="4">
      <c r="B4" s="3" t="inlineStr">
        <is>
          <t>Order ID</t>
        </is>
      </c>
      <c r="C4" s="10" t="inlineStr">
        <is>
          <t>Service Tier</t>
        </is>
      </c>
      <c r="D4" s="10" t="inlineStr">
        <is>
          <t>Destination Zone</t>
        </is>
      </c>
      <c r="E4" s="10" t="inlineStr">
        <is>
          <t>SLA Delivery Window (Hrs)</t>
        </is>
      </c>
      <c r="F4" s="10" t="inlineStr">
        <is>
          <t>Breach Penalty Risk</t>
        </is>
      </c>
    </row>
    <row r="5">
      <c r="B5" s="11" t="inlineStr">
        <is>
          <t>ORD-000</t>
        </is>
      </c>
      <c r="C5" s="12" t="inlineStr">
        <is>
          <t>standard</t>
        </is>
      </c>
      <c r="D5" s="12" t="inlineStr">
        <is>
          <t>central</t>
        </is>
      </c>
      <c r="E5" s="13">
        <f>IF(C5="express", 'Scenario Summary'!C6, 'Scenario Summary'!C7)</f>
        <v/>
      </c>
      <c r="F5" s="14">
        <f>IF(C5="express", 'Scenario Summary'!C8, 'Scenario Summary'!C9)</f>
        <v/>
      </c>
    </row>
    <row r="6">
      <c r="B6" s="15" t="inlineStr">
        <is>
          <t>ORD-001</t>
        </is>
      </c>
      <c r="C6" s="16" t="inlineStr">
        <is>
          <t>standard</t>
        </is>
      </c>
      <c r="D6" s="16" t="inlineStr">
        <is>
          <t>central</t>
        </is>
      </c>
      <c r="E6" s="17">
        <f>IF(C6="express", 'Scenario Summary'!C6, 'Scenario Summary'!C7)</f>
        <v/>
      </c>
      <c r="F6" s="18">
        <f>IF(C6="express", 'Scenario Summary'!C8, 'Scenario Summary'!C9)</f>
        <v/>
      </c>
    </row>
    <row r="7">
      <c r="B7" s="11" t="inlineStr">
        <is>
          <t>ORD-002</t>
        </is>
      </c>
      <c r="C7" s="12" t="inlineStr">
        <is>
          <t>standard</t>
        </is>
      </c>
      <c r="D7" s="12" t="inlineStr">
        <is>
          <t>west</t>
        </is>
      </c>
      <c r="E7" s="13">
        <f>IF(C7="express", 'Scenario Summary'!C6, 'Scenario Summary'!C7)</f>
        <v/>
      </c>
      <c r="F7" s="14">
        <f>IF(C7="express", 'Scenario Summary'!C8, 'Scenario Summary'!C9)</f>
        <v/>
      </c>
    </row>
    <row r="8">
      <c r="B8" s="15" t="inlineStr">
        <is>
          <t>ORD-003</t>
        </is>
      </c>
      <c r="C8" s="16" t="inlineStr">
        <is>
          <t>express</t>
        </is>
      </c>
      <c r="D8" s="16" t="inlineStr">
        <is>
          <t>central</t>
        </is>
      </c>
      <c r="E8" s="17">
        <f>IF(C8="express", 'Scenario Summary'!C6, 'Scenario Summary'!C7)</f>
        <v/>
      </c>
      <c r="F8" s="18">
        <f>IF(C8="express", 'Scenario Summary'!C8, 'Scenario Summary'!C9)</f>
        <v/>
      </c>
    </row>
    <row r="9">
      <c r="B9" s="11" t="inlineStr">
        <is>
          <t>ORD-004</t>
        </is>
      </c>
      <c r="C9" s="12" t="inlineStr">
        <is>
          <t>standard</t>
        </is>
      </c>
      <c r="D9" s="12" t="inlineStr">
        <is>
          <t>south</t>
        </is>
      </c>
      <c r="E9" s="13">
        <f>IF(C9="express", 'Scenario Summary'!C6, 'Scenario Summary'!C7)</f>
        <v/>
      </c>
      <c r="F9" s="14">
        <f>IF(C9="express", 'Scenario Summary'!C8, 'Scenario Summary'!C9)</f>
        <v/>
      </c>
    </row>
    <row r="10">
      <c r="B10" s="15" t="inlineStr">
        <is>
          <t>ORD-005</t>
        </is>
      </c>
      <c r="C10" s="16" t="inlineStr">
        <is>
          <t>express</t>
        </is>
      </c>
      <c r="D10" s="16" t="inlineStr">
        <is>
          <t>central</t>
        </is>
      </c>
      <c r="E10" s="17">
        <f>IF(C10="express", 'Scenario Summary'!C6, 'Scenario Summary'!C7)</f>
        <v/>
      </c>
      <c r="F10" s="18">
        <f>IF(C10="express", 'Scenario Summary'!C8, 'Scenario Summary'!C9)</f>
        <v/>
      </c>
    </row>
    <row r="11">
      <c r="B11" s="11" t="inlineStr">
        <is>
          <t>ORD-006</t>
        </is>
      </c>
      <c r="C11" s="12" t="inlineStr">
        <is>
          <t>express</t>
        </is>
      </c>
      <c r="D11" s="12" t="inlineStr">
        <is>
          <t>central</t>
        </is>
      </c>
      <c r="E11" s="13">
        <f>IF(C11="express", 'Scenario Summary'!C6, 'Scenario Summary'!C7)</f>
        <v/>
      </c>
      <c r="F11" s="14">
        <f>IF(C11="express", 'Scenario Summary'!C8, 'Scenario Summary'!C9)</f>
        <v/>
      </c>
    </row>
    <row r="12">
      <c r="B12" s="15" t="inlineStr">
        <is>
          <t>ORD-007</t>
        </is>
      </c>
      <c r="C12" s="16" t="inlineStr">
        <is>
          <t>standard</t>
        </is>
      </c>
      <c r="D12" s="16" t="inlineStr">
        <is>
          <t>central</t>
        </is>
      </c>
      <c r="E12" s="17">
        <f>IF(C12="express", 'Scenario Summary'!C6, 'Scenario Summary'!C7)</f>
        <v/>
      </c>
      <c r="F12" s="18">
        <f>IF(C12="express", 'Scenario Summary'!C8, 'Scenario Summary'!C9)</f>
        <v/>
      </c>
    </row>
    <row r="13">
      <c r="B13" s="11" t="inlineStr">
        <is>
          <t>ORD-008</t>
        </is>
      </c>
      <c r="C13" s="12" t="inlineStr">
        <is>
          <t>standard</t>
        </is>
      </c>
      <c r="D13" s="12" t="inlineStr">
        <is>
          <t>north</t>
        </is>
      </c>
      <c r="E13" s="13">
        <f>IF(C13="express", 'Scenario Summary'!C6, 'Scenario Summary'!C7)</f>
        <v/>
      </c>
      <c r="F13" s="14">
        <f>IF(C13="express", 'Scenario Summary'!C8, 'Scenario Summary'!C9)</f>
        <v/>
      </c>
    </row>
    <row r="14">
      <c r="B14" s="15" t="inlineStr">
        <is>
          <t>ORD-009</t>
        </is>
      </c>
      <c r="C14" s="16" t="inlineStr">
        <is>
          <t>express</t>
        </is>
      </c>
      <c r="D14" s="16" t="inlineStr">
        <is>
          <t>central</t>
        </is>
      </c>
      <c r="E14" s="17">
        <f>IF(C14="express", 'Scenario Summary'!C6, 'Scenario Summary'!C7)</f>
        <v/>
      </c>
      <c r="F14" s="18">
        <f>IF(C14="express", 'Scenario Summary'!C8, 'Scenario Summary'!C9)</f>
        <v/>
      </c>
    </row>
    <row r="15">
      <c r="B15" s="11" t="inlineStr">
        <is>
          <t>ORD-010</t>
        </is>
      </c>
      <c r="C15" s="12" t="inlineStr">
        <is>
          <t>standard</t>
        </is>
      </c>
      <c r="D15" s="12" t="inlineStr">
        <is>
          <t>central</t>
        </is>
      </c>
      <c r="E15" s="13">
        <f>IF(C15="express", 'Scenario Summary'!C6, 'Scenario Summary'!C7)</f>
        <v/>
      </c>
      <c r="F15" s="14">
        <f>IF(C15="express", 'Scenario Summary'!C8, 'Scenario Summary'!C9)</f>
        <v/>
      </c>
    </row>
    <row r="16">
      <c r="B16" s="15" t="inlineStr">
        <is>
          <t>ORD-011</t>
        </is>
      </c>
      <c r="C16" s="16" t="inlineStr">
        <is>
          <t>standard</t>
        </is>
      </c>
      <c r="D16" s="16" t="inlineStr">
        <is>
          <t>west</t>
        </is>
      </c>
      <c r="E16" s="17">
        <f>IF(C16="express", 'Scenario Summary'!C6, 'Scenario Summary'!C7)</f>
        <v/>
      </c>
      <c r="F16" s="18">
        <f>IF(C16="express", 'Scenario Summary'!C8, 'Scenario Summary'!C9)</f>
        <v/>
      </c>
    </row>
    <row r="17">
      <c r="B17" s="11" t="inlineStr">
        <is>
          <t>ORD-012</t>
        </is>
      </c>
      <c r="C17" s="12" t="inlineStr">
        <is>
          <t>standard</t>
        </is>
      </c>
      <c r="D17" s="12" t="inlineStr">
        <is>
          <t>north</t>
        </is>
      </c>
      <c r="E17" s="13">
        <f>IF(C17="express", 'Scenario Summary'!C6, 'Scenario Summary'!C7)</f>
        <v/>
      </c>
      <c r="F17" s="14">
        <f>IF(C17="express", 'Scenario Summary'!C8, 'Scenario Summary'!C9)</f>
        <v/>
      </c>
    </row>
    <row r="18">
      <c r="B18" s="15" t="inlineStr">
        <is>
          <t>ORD-013</t>
        </is>
      </c>
      <c r="C18" s="16" t="inlineStr">
        <is>
          <t>standard</t>
        </is>
      </c>
      <c r="D18" s="16" t="inlineStr">
        <is>
          <t>south</t>
        </is>
      </c>
      <c r="E18" s="17">
        <f>IF(C18="express", 'Scenario Summary'!C6, 'Scenario Summary'!C7)</f>
        <v/>
      </c>
      <c r="F18" s="18">
        <f>IF(C18="express", 'Scenario Summary'!C8, 'Scenario Summary'!C9)</f>
        <v/>
      </c>
    </row>
    <row r="19">
      <c r="B19" s="11" t="inlineStr">
        <is>
          <t>ORD-014</t>
        </is>
      </c>
      <c r="C19" s="12" t="inlineStr">
        <is>
          <t>express</t>
        </is>
      </c>
      <c r="D19" s="12" t="inlineStr">
        <is>
          <t>north</t>
        </is>
      </c>
      <c r="E19" s="13">
        <f>IF(C19="express", 'Scenario Summary'!C6, 'Scenario Summary'!C7)</f>
        <v/>
      </c>
      <c r="F19" s="14">
        <f>IF(C19="express", 'Scenario Summary'!C8, 'Scenario Summary'!C9)</f>
        <v/>
      </c>
    </row>
    <row r="20">
      <c r="B20" s="15" t="inlineStr">
        <is>
          <t>ORD-015</t>
        </is>
      </c>
      <c r="C20" s="16" t="inlineStr">
        <is>
          <t>express</t>
        </is>
      </c>
      <c r="D20" s="16" t="inlineStr">
        <is>
          <t>central</t>
        </is>
      </c>
      <c r="E20" s="17">
        <f>IF(C20="express", 'Scenario Summary'!C6, 'Scenario Summary'!C7)</f>
        <v/>
      </c>
      <c r="F20" s="18">
        <f>IF(C20="express", 'Scenario Summary'!C8, 'Scenario Summary'!C9)</f>
        <v/>
      </c>
    </row>
    <row r="21">
      <c r="B21" s="11" t="inlineStr">
        <is>
          <t>ORD-016</t>
        </is>
      </c>
      <c r="C21" s="12" t="inlineStr">
        <is>
          <t>standard</t>
        </is>
      </c>
      <c r="D21" s="12" t="inlineStr">
        <is>
          <t>east</t>
        </is>
      </c>
      <c r="E21" s="13">
        <f>IF(C21="express", 'Scenario Summary'!C6, 'Scenario Summary'!C7)</f>
        <v/>
      </c>
      <c r="F21" s="14">
        <f>IF(C21="express", 'Scenario Summary'!C8, 'Scenario Summary'!C9)</f>
        <v/>
      </c>
    </row>
    <row r="22">
      <c r="B22" s="15" t="inlineStr">
        <is>
          <t>ORD-017</t>
        </is>
      </c>
      <c r="C22" s="16" t="inlineStr">
        <is>
          <t>express</t>
        </is>
      </c>
      <c r="D22" s="16" t="inlineStr">
        <is>
          <t>east</t>
        </is>
      </c>
      <c r="E22" s="17">
        <f>IF(C22="express", 'Scenario Summary'!C6, 'Scenario Summary'!C7)</f>
        <v/>
      </c>
      <c r="F22" s="18">
        <f>IF(C22="express", 'Scenario Summary'!C8, 'Scenario Summary'!C9)</f>
        <v/>
      </c>
    </row>
    <row r="23">
      <c r="B23" s="11" t="inlineStr">
        <is>
          <t>ORD-018</t>
        </is>
      </c>
      <c r="C23" s="12" t="inlineStr">
        <is>
          <t>standard</t>
        </is>
      </c>
      <c r="D23" s="12" t="inlineStr">
        <is>
          <t>south</t>
        </is>
      </c>
      <c r="E23" s="13">
        <f>IF(C23="express", 'Scenario Summary'!C6, 'Scenario Summary'!C7)</f>
        <v/>
      </c>
      <c r="F23" s="14">
        <f>IF(C23="express", 'Scenario Summary'!C8, 'Scenario Summary'!C9)</f>
        <v/>
      </c>
    </row>
    <row r="24">
      <c r="B24" s="15" t="inlineStr">
        <is>
          <t>ORD-019</t>
        </is>
      </c>
      <c r="C24" s="16" t="inlineStr">
        <is>
          <t>express</t>
        </is>
      </c>
      <c r="D24" s="16" t="inlineStr">
        <is>
          <t>central</t>
        </is>
      </c>
      <c r="E24" s="17">
        <f>IF(C24="express", 'Scenario Summary'!C6, 'Scenario Summary'!C7)</f>
        <v/>
      </c>
      <c r="F24" s="18">
        <f>IF(C24="express", 'Scenario Summary'!C8, 'Scenario Summary'!C9)</f>
        <v/>
      </c>
    </row>
    <row r="25">
      <c r="B25" s="11" t="inlineStr">
        <is>
          <t>ORD-020</t>
        </is>
      </c>
      <c r="C25" s="12" t="inlineStr">
        <is>
          <t>standard</t>
        </is>
      </c>
      <c r="D25" s="12" t="inlineStr">
        <is>
          <t>central</t>
        </is>
      </c>
      <c r="E25" s="13">
        <f>IF(C25="express", 'Scenario Summary'!C6, 'Scenario Summary'!C7)</f>
        <v/>
      </c>
      <c r="F25" s="14">
        <f>IF(C25="express", 'Scenario Summary'!C8, 'Scenario Summary'!C9)</f>
        <v/>
      </c>
    </row>
    <row r="26">
      <c r="B26" s="15" t="inlineStr">
        <is>
          <t>ORD-021</t>
        </is>
      </c>
      <c r="C26" s="16" t="inlineStr">
        <is>
          <t>standard</t>
        </is>
      </c>
      <c r="D26" s="16" t="inlineStr">
        <is>
          <t>west</t>
        </is>
      </c>
      <c r="E26" s="17">
        <f>IF(C26="express", 'Scenario Summary'!C6, 'Scenario Summary'!C7)</f>
        <v/>
      </c>
      <c r="F26" s="18">
        <f>IF(C26="express", 'Scenario Summary'!C8, 'Scenario Summary'!C9)</f>
        <v/>
      </c>
    </row>
    <row r="27">
      <c r="B27" s="11" t="inlineStr">
        <is>
          <t>ORD-022</t>
        </is>
      </c>
      <c r="C27" s="12" t="inlineStr">
        <is>
          <t>standard</t>
        </is>
      </c>
      <c r="D27" s="12" t="inlineStr">
        <is>
          <t>central</t>
        </is>
      </c>
      <c r="E27" s="13">
        <f>IF(C27="express", 'Scenario Summary'!C6, 'Scenario Summary'!C7)</f>
        <v/>
      </c>
      <c r="F27" s="14">
        <f>IF(C27="express", 'Scenario Summary'!C8, 'Scenario Summary'!C9)</f>
        <v/>
      </c>
    </row>
    <row r="28">
      <c r="B28" s="15" t="inlineStr">
        <is>
          <t>ORD-023</t>
        </is>
      </c>
      <c r="C28" s="16" t="inlineStr">
        <is>
          <t>standard</t>
        </is>
      </c>
      <c r="D28" s="16" t="inlineStr">
        <is>
          <t>east</t>
        </is>
      </c>
      <c r="E28" s="17">
        <f>IF(C28="express", 'Scenario Summary'!C6, 'Scenario Summary'!C7)</f>
        <v/>
      </c>
      <c r="F28" s="18">
        <f>IF(C28="express", 'Scenario Summary'!C8, 'Scenario Summary'!C9)</f>
        <v/>
      </c>
    </row>
    <row r="29">
      <c r="B29" s="11" t="inlineStr">
        <is>
          <t>ORD-024</t>
        </is>
      </c>
      <c r="C29" s="12" t="inlineStr">
        <is>
          <t>express</t>
        </is>
      </c>
      <c r="D29" s="12" t="inlineStr">
        <is>
          <t>central</t>
        </is>
      </c>
      <c r="E29" s="13">
        <f>IF(C29="express", 'Scenario Summary'!C6, 'Scenario Summary'!C7)</f>
        <v/>
      </c>
      <c r="F29" s="14">
        <f>IF(C29="express", 'Scenario Summary'!C8, 'Scenario Summary'!C9)</f>
        <v/>
      </c>
    </row>
    <row r="30">
      <c r="B30" s="15" t="inlineStr">
        <is>
          <t>ORD-025</t>
        </is>
      </c>
      <c r="C30" s="16" t="inlineStr">
        <is>
          <t>express</t>
        </is>
      </c>
      <c r="D30" s="16" t="inlineStr">
        <is>
          <t>central</t>
        </is>
      </c>
      <c r="E30" s="17">
        <f>IF(C30="express", 'Scenario Summary'!C6, 'Scenario Summary'!C7)</f>
        <v/>
      </c>
      <c r="F30" s="18">
        <f>IF(C30="express", 'Scenario Summary'!C8, 'Scenario Summary'!C9)</f>
        <v/>
      </c>
    </row>
    <row r="31">
      <c r="B31" s="11" t="inlineStr">
        <is>
          <t>ORD-026</t>
        </is>
      </c>
      <c r="C31" s="12" t="inlineStr">
        <is>
          <t>standard</t>
        </is>
      </c>
      <c r="D31" s="12" t="inlineStr">
        <is>
          <t>central</t>
        </is>
      </c>
      <c r="E31" s="13">
        <f>IF(C31="express", 'Scenario Summary'!C6, 'Scenario Summary'!C7)</f>
        <v/>
      </c>
      <c r="F31" s="14">
        <f>IF(C31="express", 'Scenario Summary'!C8, 'Scenario Summary'!C9)</f>
        <v/>
      </c>
    </row>
    <row r="32">
      <c r="B32" s="15" t="inlineStr">
        <is>
          <t>ORD-027</t>
        </is>
      </c>
      <c r="C32" s="16" t="inlineStr">
        <is>
          <t>standard</t>
        </is>
      </c>
      <c r="D32" s="16" t="inlineStr">
        <is>
          <t>central</t>
        </is>
      </c>
      <c r="E32" s="17">
        <f>IF(C32="express", 'Scenario Summary'!C6, 'Scenario Summary'!C7)</f>
        <v/>
      </c>
      <c r="F32" s="18">
        <f>IF(C32="express", 'Scenario Summary'!C8, 'Scenario Summary'!C9)</f>
        <v/>
      </c>
    </row>
    <row r="33">
      <c r="B33" s="11" t="inlineStr">
        <is>
          <t>ORD-028</t>
        </is>
      </c>
      <c r="C33" s="12" t="inlineStr">
        <is>
          <t>express</t>
        </is>
      </c>
      <c r="D33" s="12" t="inlineStr">
        <is>
          <t>south</t>
        </is>
      </c>
      <c r="E33" s="13">
        <f>IF(C33="express", 'Scenario Summary'!C6, 'Scenario Summary'!C7)</f>
        <v/>
      </c>
      <c r="F33" s="14">
        <f>IF(C33="express", 'Scenario Summary'!C8, 'Scenario Summary'!C9)</f>
        <v/>
      </c>
    </row>
    <row r="34">
      <c r="B34" s="15" t="inlineStr">
        <is>
          <t>ORD-029</t>
        </is>
      </c>
      <c r="C34" s="16" t="inlineStr">
        <is>
          <t>standard</t>
        </is>
      </c>
      <c r="D34" s="16" t="inlineStr">
        <is>
          <t>east</t>
        </is>
      </c>
      <c r="E34" s="17">
        <f>IF(C34="express", 'Scenario Summary'!C6, 'Scenario Summary'!C7)</f>
        <v/>
      </c>
      <c r="F34" s="18">
        <f>IF(C34="express", 'Scenario Summary'!C8, 'Scenario Summary'!C9)</f>
        <v/>
      </c>
    </row>
    <row r="35">
      <c r="B35" s="11" t="inlineStr">
        <is>
          <t>ORD-030</t>
        </is>
      </c>
      <c r="C35" s="12" t="inlineStr">
        <is>
          <t>express</t>
        </is>
      </c>
      <c r="D35" s="12" t="inlineStr">
        <is>
          <t>central</t>
        </is>
      </c>
      <c r="E35" s="13">
        <f>IF(C35="express", 'Scenario Summary'!C6, 'Scenario Summary'!C7)</f>
        <v/>
      </c>
      <c r="F35" s="14">
        <f>IF(C35="express", 'Scenario Summary'!C8, 'Scenario Summary'!C9)</f>
        <v/>
      </c>
    </row>
    <row r="36">
      <c r="B36" s="15" t="inlineStr">
        <is>
          <t>ORD-031</t>
        </is>
      </c>
      <c r="C36" s="16" t="inlineStr">
        <is>
          <t>express</t>
        </is>
      </c>
      <c r="D36" s="16" t="inlineStr">
        <is>
          <t>north</t>
        </is>
      </c>
      <c r="E36" s="17">
        <f>IF(C36="express", 'Scenario Summary'!C6, 'Scenario Summary'!C7)</f>
        <v/>
      </c>
      <c r="F36" s="18">
        <f>IF(C36="express", 'Scenario Summary'!C8, 'Scenario Summary'!C9)</f>
        <v/>
      </c>
    </row>
    <row r="37">
      <c r="B37" s="11" t="inlineStr">
        <is>
          <t>ORD-032</t>
        </is>
      </c>
      <c r="C37" s="12" t="inlineStr">
        <is>
          <t>standard</t>
        </is>
      </c>
      <c r="D37" s="12" t="inlineStr">
        <is>
          <t>west</t>
        </is>
      </c>
      <c r="E37" s="13">
        <f>IF(C37="express", 'Scenario Summary'!C6, 'Scenario Summary'!C7)</f>
        <v/>
      </c>
      <c r="F37" s="14">
        <f>IF(C37="express", 'Scenario Summary'!C8, 'Scenario Summary'!C9)</f>
        <v/>
      </c>
    </row>
    <row r="38">
      <c r="B38" s="15" t="inlineStr">
        <is>
          <t>ORD-033</t>
        </is>
      </c>
      <c r="C38" s="16" t="inlineStr">
        <is>
          <t>standard</t>
        </is>
      </c>
      <c r="D38" s="16" t="inlineStr">
        <is>
          <t>north</t>
        </is>
      </c>
      <c r="E38" s="17">
        <f>IF(C38="express", 'Scenario Summary'!C6, 'Scenario Summary'!C7)</f>
        <v/>
      </c>
      <c r="F38" s="18">
        <f>IF(C38="express", 'Scenario Summary'!C8, 'Scenario Summary'!C9)</f>
        <v/>
      </c>
    </row>
    <row r="39">
      <c r="B39" s="11" t="inlineStr">
        <is>
          <t>ORD-034</t>
        </is>
      </c>
      <c r="C39" s="12" t="inlineStr">
        <is>
          <t>express</t>
        </is>
      </c>
      <c r="D39" s="12" t="inlineStr">
        <is>
          <t>south</t>
        </is>
      </c>
      <c r="E39" s="13">
        <f>IF(C39="express", 'Scenario Summary'!C6, 'Scenario Summary'!C7)</f>
        <v/>
      </c>
      <c r="F39" s="14">
        <f>IF(C39="express", 'Scenario Summary'!C8, 'Scenario Summary'!C9)</f>
        <v/>
      </c>
    </row>
    <row r="40">
      <c r="B40" s="15" t="inlineStr">
        <is>
          <t>ORD-035</t>
        </is>
      </c>
      <c r="C40" s="16" t="inlineStr">
        <is>
          <t>standard</t>
        </is>
      </c>
      <c r="D40" s="16" t="inlineStr">
        <is>
          <t>south</t>
        </is>
      </c>
      <c r="E40" s="17">
        <f>IF(C40="express", 'Scenario Summary'!C6, 'Scenario Summary'!C7)</f>
        <v/>
      </c>
      <c r="F40" s="18">
        <f>IF(C40="express", 'Scenario Summary'!C8, 'Scenario Summary'!C9)</f>
        <v/>
      </c>
    </row>
    <row r="41">
      <c r="B41" s="11" t="inlineStr">
        <is>
          <t>ORD-036</t>
        </is>
      </c>
      <c r="C41" s="12" t="inlineStr">
        <is>
          <t>standard</t>
        </is>
      </c>
      <c r="D41" s="12" t="inlineStr">
        <is>
          <t>west</t>
        </is>
      </c>
      <c r="E41" s="13">
        <f>IF(C41="express", 'Scenario Summary'!C6, 'Scenario Summary'!C7)</f>
        <v/>
      </c>
      <c r="F41" s="14">
        <f>IF(C41="express", 'Scenario Summary'!C8, 'Scenario Summary'!C9)</f>
        <v/>
      </c>
    </row>
    <row r="42">
      <c r="B42" s="15" t="inlineStr">
        <is>
          <t>ORD-037</t>
        </is>
      </c>
      <c r="C42" s="16" t="inlineStr">
        <is>
          <t>express</t>
        </is>
      </c>
      <c r="D42" s="16" t="inlineStr">
        <is>
          <t>east</t>
        </is>
      </c>
      <c r="E42" s="17">
        <f>IF(C42="express", 'Scenario Summary'!C6, 'Scenario Summary'!C7)</f>
        <v/>
      </c>
      <c r="F42" s="18">
        <f>IF(C42="express", 'Scenario Summary'!C8, 'Scenario Summary'!C9)</f>
        <v/>
      </c>
    </row>
    <row r="43">
      <c r="B43" s="11" t="inlineStr">
        <is>
          <t>ORD-038</t>
        </is>
      </c>
      <c r="C43" s="12" t="inlineStr">
        <is>
          <t>standard</t>
        </is>
      </c>
      <c r="D43" s="12" t="inlineStr">
        <is>
          <t>north</t>
        </is>
      </c>
      <c r="E43" s="13">
        <f>IF(C43="express", 'Scenario Summary'!C6, 'Scenario Summary'!C7)</f>
        <v/>
      </c>
      <c r="F43" s="14">
        <f>IF(C43="express", 'Scenario Summary'!C8, 'Scenario Summary'!C9)</f>
        <v/>
      </c>
    </row>
    <row r="44">
      <c r="B44" s="15" t="inlineStr">
        <is>
          <t>ORD-039</t>
        </is>
      </c>
      <c r="C44" s="16" t="inlineStr">
        <is>
          <t>express</t>
        </is>
      </c>
      <c r="D44" s="16" t="inlineStr">
        <is>
          <t>central</t>
        </is>
      </c>
      <c r="E44" s="17">
        <f>IF(C44="express", 'Scenario Summary'!C6, 'Scenario Summary'!C7)</f>
        <v/>
      </c>
      <c r="F44" s="18">
        <f>IF(C44="express", 'Scenario Summary'!C8, 'Scenario Summary'!C9)</f>
        <v/>
      </c>
    </row>
    <row r="45">
      <c r="B45" s="11" t="inlineStr">
        <is>
          <t>ORD-040</t>
        </is>
      </c>
      <c r="C45" s="12" t="inlineStr">
        <is>
          <t>express</t>
        </is>
      </c>
      <c r="D45" s="12" t="inlineStr">
        <is>
          <t>central</t>
        </is>
      </c>
      <c r="E45" s="13">
        <f>IF(C45="express", 'Scenario Summary'!C6, 'Scenario Summary'!C7)</f>
        <v/>
      </c>
      <c r="F45" s="14">
        <f>IF(C45="express", 'Scenario Summary'!C8, 'Scenario Summary'!C9)</f>
        <v/>
      </c>
    </row>
    <row r="46">
      <c r="B46" s="15" t="inlineStr">
        <is>
          <t>ORD-041</t>
        </is>
      </c>
      <c r="C46" s="16" t="inlineStr">
        <is>
          <t>standard</t>
        </is>
      </c>
      <c r="D46" s="16" t="inlineStr">
        <is>
          <t>west</t>
        </is>
      </c>
      <c r="E46" s="17">
        <f>IF(C46="express", 'Scenario Summary'!C6, 'Scenario Summary'!C7)</f>
        <v/>
      </c>
      <c r="F46" s="18">
        <f>IF(C46="express", 'Scenario Summary'!C8, 'Scenario Summary'!C9)</f>
        <v/>
      </c>
    </row>
    <row r="47">
      <c r="B47" s="11" t="inlineStr">
        <is>
          <t>ORD-042</t>
        </is>
      </c>
      <c r="C47" s="12" t="inlineStr">
        <is>
          <t>standard</t>
        </is>
      </c>
      <c r="D47" s="12" t="inlineStr">
        <is>
          <t>east</t>
        </is>
      </c>
      <c r="E47" s="13">
        <f>IF(C47="express", 'Scenario Summary'!C6, 'Scenario Summary'!C7)</f>
        <v/>
      </c>
      <c r="F47" s="14">
        <f>IF(C47="express", 'Scenario Summary'!C8, 'Scenario Summary'!C9)</f>
        <v/>
      </c>
    </row>
    <row r="48">
      <c r="B48" s="15" t="inlineStr">
        <is>
          <t>ORD-043</t>
        </is>
      </c>
      <c r="C48" s="16" t="inlineStr">
        <is>
          <t>express</t>
        </is>
      </c>
      <c r="D48" s="16" t="inlineStr">
        <is>
          <t>north</t>
        </is>
      </c>
      <c r="E48" s="17">
        <f>IF(C48="express", 'Scenario Summary'!C6, 'Scenario Summary'!C7)</f>
        <v/>
      </c>
      <c r="F48" s="18">
        <f>IF(C48="express", 'Scenario Summary'!C8, 'Scenario Summary'!C9)</f>
        <v/>
      </c>
    </row>
    <row r="49">
      <c r="B49" s="11" t="inlineStr">
        <is>
          <t>ORD-044</t>
        </is>
      </c>
      <c r="C49" s="12" t="inlineStr">
        <is>
          <t>standard</t>
        </is>
      </c>
      <c r="D49" s="12" t="inlineStr">
        <is>
          <t>south</t>
        </is>
      </c>
      <c r="E49" s="13">
        <f>IF(C49="express", 'Scenario Summary'!C6, 'Scenario Summary'!C7)</f>
        <v/>
      </c>
      <c r="F49" s="14">
        <f>IF(C49="express", 'Scenario Summary'!C8, 'Scenario Summary'!C9)</f>
        <v/>
      </c>
    </row>
    <row r="50">
      <c r="B50" s="15" t="inlineStr">
        <is>
          <t>ORD-045</t>
        </is>
      </c>
      <c r="C50" s="16" t="inlineStr">
        <is>
          <t>express</t>
        </is>
      </c>
      <c r="D50" s="16" t="inlineStr">
        <is>
          <t>central</t>
        </is>
      </c>
      <c r="E50" s="17">
        <f>IF(C50="express", 'Scenario Summary'!C6, 'Scenario Summary'!C7)</f>
        <v/>
      </c>
      <c r="F50" s="18">
        <f>IF(C50="express", 'Scenario Summary'!C8, 'Scenario Summary'!C9)</f>
        <v/>
      </c>
    </row>
    <row r="51">
      <c r="B51" s="11" t="inlineStr">
        <is>
          <t>ORD-046</t>
        </is>
      </c>
      <c r="C51" s="12" t="inlineStr">
        <is>
          <t>standard</t>
        </is>
      </c>
      <c r="D51" s="12" t="inlineStr">
        <is>
          <t>south</t>
        </is>
      </c>
      <c r="E51" s="13">
        <f>IF(C51="express", 'Scenario Summary'!C6, 'Scenario Summary'!C7)</f>
        <v/>
      </c>
      <c r="F51" s="14">
        <f>IF(C51="express", 'Scenario Summary'!C8, 'Scenario Summary'!C9)</f>
        <v/>
      </c>
    </row>
    <row r="52">
      <c r="B52" s="15" t="inlineStr">
        <is>
          <t>ORD-047</t>
        </is>
      </c>
      <c r="C52" s="16" t="inlineStr">
        <is>
          <t>standard</t>
        </is>
      </c>
      <c r="D52" s="16" t="inlineStr">
        <is>
          <t>east</t>
        </is>
      </c>
      <c r="E52" s="17">
        <f>IF(C52="express", 'Scenario Summary'!C6, 'Scenario Summary'!C7)</f>
        <v/>
      </c>
      <c r="F52" s="18">
        <f>IF(C52="express", 'Scenario Summary'!C8, 'Scenario Summary'!C9)</f>
        <v/>
      </c>
    </row>
    <row r="53">
      <c r="B53" s="11" t="inlineStr">
        <is>
          <t>ORD-048</t>
        </is>
      </c>
      <c r="C53" s="12" t="inlineStr">
        <is>
          <t>express</t>
        </is>
      </c>
      <c r="D53" s="12" t="inlineStr">
        <is>
          <t>central</t>
        </is>
      </c>
      <c r="E53" s="13">
        <f>IF(C53="express", 'Scenario Summary'!C6, 'Scenario Summary'!C7)</f>
        <v/>
      </c>
      <c r="F53" s="14">
        <f>IF(C53="express", 'Scenario Summary'!C8, 'Scenario Summary'!C9)</f>
        <v/>
      </c>
    </row>
    <row r="54">
      <c r="B54" s="15" t="inlineStr">
        <is>
          <t>ORD-049</t>
        </is>
      </c>
      <c r="C54" s="16" t="inlineStr">
        <is>
          <t>standard</t>
        </is>
      </c>
      <c r="D54" s="16" t="inlineStr">
        <is>
          <t>west</t>
        </is>
      </c>
      <c r="E54" s="17">
        <f>IF(C54="express", 'Scenario Summary'!C6, 'Scenario Summary'!C7)</f>
        <v/>
      </c>
      <c r="F54" s="18">
        <f>IF(C54="express", 'Scenario Summary'!C8, 'Scenario Summary'!C9)</f>
        <v/>
      </c>
    </row>
    <row r="55">
      <c r="B55" s="8" t="inlineStr">
        <is>
          <t>Total Simulated Exposure</t>
        </is>
      </c>
      <c r="F55" s="19">
        <f>SUM(F5:F54)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9" customWidth="1" min="4" max="4"/>
    <col width="19" customWidth="1" min="5" max="5"/>
    <col width="15" customWidth="1" min="6" max="6"/>
    <col width="21" customWidth="1" min="7" max="7"/>
    <col width="33" customWidth="1" min="8" max="8"/>
    <col width="21" customWidth="1" min="9" max="9"/>
  </cols>
  <sheetData>
    <row r="1"/>
    <row r="2">
      <c r="B2" s="1" t="inlineStr">
        <is>
          <t>Integrated Fleet Capacity &amp; Weather Exposure Risk</t>
        </is>
      </c>
    </row>
    <row r="3"/>
    <row r="4">
      <c r="B4" s="3" t="inlineStr">
        <is>
          <t>Driver ID</t>
        </is>
      </c>
      <c r="C4" s="10" t="inlineStr">
        <is>
          <t>Status</t>
        </is>
      </c>
      <c r="D4" s="10" t="inlineStr">
        <is>
          <t>Base Shift (Hrs)</t>
        </is>
      </c>
      <c r="E4" s="10" t="inlineStr">
        <is>
          <t>Weather Scenario</t>
        </is>
      </c>
      <c r="F4" s="10" t="inlineStr">
        <is>
          <t>Shift Cost</t>
        </is>
      </c>
      <c r="G4" s="10" t="inlineStr">
        <is>
          <t>Weather Multiplier</t>
        </is>
      </c>
      <c r="H4" s="10" t="inlineStr">
        <is>
          <t>Degraded Capacity (Deliveries)</t>
        </is>
      </c>
      <c r="I4" s="10" t="inlineStr">
        <is>
          <t>Risk Profile Score</t>
        </is>
      </c>
    </row>
    <row r="5">
      <c r="B5" s="11" t="inlineStr">
        <is>
          <t>DRV-000</t>
        </is>
      </c>
      <c r="C5" s="12" t="inlineStr">
        <is>
          <t>ACTIVE</t>
        </is>
      </c>
      <c r="D5" s="12">
        <f>'Scenario Summary'!C6</f>
        <v/>
      </c>
      <c r="E5" s="12">
        <f>'Scenario Summary'!C13</f>
        <v/>
      </c>
      <c r="F5" s="14">
        <f>'Scenario Summary'!C10</f>
        <v/>
      </c>
      <c r="G5" s="20">
        <f>'Scenario Summary'!C13</f>
        <v/>
      </c>
      <c r="H5" s="20">
        <f>'Scenario Summary'!C7*G5</f>
        <v/>
      </c>
      <c r="I5" s="12">
        <f>'Scenario Summary'!C15</f>
        <v/>
      </c>
    </row>
    <row r="6">
      <c r="B6" s="15" t="inlineStr">
        <is>
          <t>DRV-001</t>
        </is>
      </c>
      <c r="C6" s="16" t="inlineStr">
        <is>
          <t>ACTIVE</t>
        </is>
      </c>
      <c r="D6" s="16">
        <f>'Scenario Summary'!C6</f>
        <v/>
      </c>
      <c r="E6" s="16">
        <f>'Scenario Summary'!C13</f>
        <v/>
      </c>
      <c r="F6" s="18">
        <f>'Scenario Summary'!C10</f>
        <v/>
      </c>
      <c r="G6" s="21">
        <f>'Scenario Summary'!C13</f>
        <v/>
      </c>
      <c r="H6" s="21">
        <f>'Scenario Summary'!C7*G6</f>
        <v/>
      </c>
      <c r="I6" s="16">
        <f>'Scenario Summary'!C15</f>
        <v/>
      </c>
    </row>
    <row r="7">
      <c r="B7" s="11" t="inlineStr">
        <is>
          <t>DRV-002</t>
        </is>
      </c>
      <c r="C7" s="12" t="inlineStr">
        <is>
          <t>ACTIVE</t>
        </is>
      </c>
      <c r="D7" s="12">
        <f>'Scenario Summary'!C6</f>
        <v/>
      </c>
      <c r="E7" s="12">
        <f>'Scenario Summary'!C13</f>
        <v/>
      </c>
      <c r="F7" s="14">
        <f>'Scenario Summary'!C10</f>
        <v/>
      </c>
      <c r="G7" s="20">
        <f>'Scenario Summary'!C13</f>
        <v/>
      </c>
      <c r="H7" s="20">
        <f>'Scenario Summary'!C7*G7</f>
        <v/>
      </c>
      <c r="I7" s="12">
        <f>'Scenario Summary'!C15</f>
        <v/>
      </c>
    </row>
    <row r="8">
      <c r="B8" s="15" t="inlineStr">
        <is>
          <t>DRV-003</t>
        </is>
      </c>
      <c r="C8" s="16" t="inlineStr">
        <is>
          <t>ACTIVE</t>
        </is>
      </c>
      <c r="D8" s="16">
        <f>'Scenario Summary'!C6</f>
        <v/>
      </c>
      <c r="E8" s="16">
        <f>'Scenario Summary'!C13</f>
        <v/>
      </c>
      <c r="F8" s="18">
        <f>'Scenario Summary'!C10</f>
        <v/>
      </c>
      <c r="G8" s="21">
        <f>'Scenario Summary'!C13</f>
        <v/>
      </c>
      <c r="H8" s="21">
        <f>'Scenario Summary'!C7*G8</f>
        <v/>
      </c>
      <c r="I8" s="16">
        <f>'Scenario Summary'!C15</f>
        <v/>
      </c>
    </row>
    <row r="9">
      <c r="B9" s="11" t="inlineStr">
        <is>
          <t>DRV-004</t>
        </is>
      </c>
      <c r="C9" s="12" t="inlineStr">
        <is>
          <t>ACTIVE</t>
        </is>
      </c>
      <c r="D9" s="12">
        <f>'Scenario Summary'!C6</f>
        <v/>
      </c>
      <c r="E9" s="12">
        <f>'Scenario Summary'!C13</f>
        <v/>
      </c>
      <c r="F9" s="14">
        <f>'Scenario Summary'!C10</f>
        <v/>
      </c>
      <c r="G9" s="20">
        <f>'Scenario Summary'!C13</f>
        <v/>
      </c>
      <c r="H9" s="20">
        <f>'Scenario Summary'!C7*G9</f>
        <v/>
      </c>
      <c r="I9" s="12">
        <f>'Scenario Summary'!C15</f>
        <v/>
      </c>
    </row>
    <row r="10">
      <c r="B10" s="15" t="inlineStr">
        <is>
          <t>DRV-005</t>
        </is>
      </c>
      <c r="C10" s="16" t="inlineStr">
        <is>
          <t>ACTIVE</t>
        </is>
      </c>
      <c r="D10" s="16">
        <f>'Scenario Summary'!C6</f>
        <v/>
      </c>
      <c r="E10" s="16">
        <f>'Scenario Summary'!C13</f>
        <v/>
      </c>
      <c r="F10" s="18">
        <f>'Scenario Summary'!C10</f>
        <v/>
      </c>
      <c r="G10" s="21">
        <f>'Scenario Summary'!C13</f>
        <v/>
      </c>
      <c r="H10" s="21">
        <f>'Scenario Summary'!C7*G10</f>
        <v/>
      </c>
      <c r="I10" s="16">
        <f>'Scenario Summary'!C15</f>
        <v/>
      </c>
    </row>
    <row r="11">
      <c r="B11" s="11" t="inlineStr">
        <is>
          <t>DRV-006</t>
        </is>
      </c>
      <c r="C11" s="12" t="inlineStr">
        <is>
          <t>ACTIVE</t>
        </is>
      </c>
      <c r="D11" s="12">
        <f>'Scenario Summary'!C6</f>
        <v/>
      </c>
      <c r="E11" s="12">
        <f>'Scenario Summary'!C13</f>
        <v/>
      </c>
      <c r="F11" s="14">
        <f>'Scenario Summary'!C10</f>
        <v/>
      </c>
      <c r="G11" s="20">
        <f>'Scenario Summary'!C13</f>
        <v/>
      </c>
      <c r="H11" s="20">
        <f>'Scenario Summary'!C7*G11</f>
        <v/>
      </c>
      <c r="I11" s="12">
        <f>'Scenario Summary'!C15</f>
        <v/>
      </c>
    </row>
    <row r="12">
      <c r="B12" s="15" t="inlineStr">
        <is>
          <t>DRV-007</t>
        </is>
      </c>
      <c r="C12" s="16" t="inlineStr">
        <is>
          <t>ACTIVE</t>
        </is>
      </c>
      <c r="D12" s="16">
        <f>'Scenario Summary'!C6</f>
        <v/>
      </c>
      <c r="E12" s="16">
        <f>'Scenario Summary'!C13</f>
        <v/>
      </c>
      <c r="F12" s="18">
        <f>'Scenario Summary'!C10</f>
        <v/>
      </c>
      <c r="G12" s="21">
        <f>'Scenario Summary'!C13</f>
        <v/>
      </c>
      <c r="H12" s="21">
        <f>'Scenario Summary'!C7*G12</f>
        <v/>
      </c>
      <c r="I12" s="16">
        <f>'Scenario Summary'!C15</f>
        <v/>
      </c>
    </row>
    <row r="13">
      <c r="B13" s="11" t="inlineStr">
        <is>
          <t>DRV-008</t>
        </is>
      </c>
      <c r="C13" s="12" t="inlineStr">
        <is>
          <t>ACTIVE</t>
        </is>
      </c>
      <c r="D13" s="12">
        <f>'Scenario Summary'!C6</f>
        <v/>
      </c>
      <c r="E13" s="12">
        <f>'Scenario Summary'!C13</f>
        <v/>
      </c>
      <c r="F13" s="14">
        <f>'Scenario Summary'!C10</f>
        <v/>
      </c>
      <c r="G13" s="20">
        <f>'Scenario Summary'!C13</f>
        <v/>
      </c>
      <c r="H13" s="20">
        <f>'Scenario Summary'!C7*G13</f>
        <v/>
      </c>
      <c r="I13" s="12">
        <f>'Scenario Summary'!C15</f>
        <v/>
      </c>
    </row>
    <row r="14">
      <c r="B14" s="15" t="inlineStr">
        <is>
          <t>DRV-009</t>
        </is>
      </c>
      <c r="C14" s="16" t="inlineStr">
        <is>
          <t>ACTIVE</t>
        </is>
      </c>
      <c r="D14" s="16">
        <f>'Scenario Summary'!C6</f>
        <v/>
      </c>
      <c r="E14" s="16">
        <f>'Scenario Summary'!C13</f>
        <v/>
      </c>
      <c r="F14" s="18">
        <f>'Scenario Summary'!C10</f>
        <v/>
      </c>
      <c r="G14" s="21">
        <f>'Scenario Summary'!C13</f>
        <v/>
      </c>
      <c r="H14" s="21">
        <f>'Scenario Summary'!C7*G14</f>
        <v/>
      </c>
      <c r="I14" s="16">
        <f>'Scenario Summary'!C15</f>
        <v/>
      </c>
    </row>
    <row r="15">
      <c r="B15" s="8" t="inlineStr">
        <is>
          <t>Total Fleet Operational Cost</t>
        </is>
      </c>
      <c r="F15" s="19">
        <f>SUM(F5:F14)</f>
        <v/>
      </c>
    </row>
    <row r="16">
      <c r="B16" s="8" t="inlineStr">
        <is>
          <t>Total Fleet Deliveries Capacity</t>
        </is>
      </c>
      <c r="H16" s="22">
        <f>SUM(H5:H14)</f>
        <v/>
      </c>
    </row>
    <row r="17">
      <c r="E17">
        <f>SUM(F5:F14)</f>
        <v/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79515041BFC4EB4581FB993DA8C68" ma:contentTypeVersion="11" ma:contentTypeDescription="Create a new document." ma:contentTypeScope="" ma:versionID="2d70add41869cfa47f7bfe1559e6e155">
  <xsd:schema xmlns:xsd="http://www.w3.org/2001/XMLSchema" xmlns:xs="http://www.w3.org/2001/XMLSchema" xmlns:p="http://schemas.microsoft.com/office/2006/metadata/properties" xmlns:ns2="f691ce3f-0e4c-4d7e-9791-918f781cd794" xmlns:ns3="c7e42fa8-4433-4fda-af73-93244b2fe68b" targetNamespace="http://schemas.microsoft.com/office/2006/metadata/properties" ma:root="true" ma:fieldsID="27ff9071d5939c5e44a8041f5c303f96" ns2:_="" ns3:_="">
    <xsd:import namespace="f691ce3f-0e4c-4d7e-9791-918f781cd794"/>
    <xsd:import namespace="c7e42fa8-4433-4fda-af73-93244b2fe6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1ce3f-0e4c-4d7e-9791-918f781cd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89c8bd1-e2a3-45e5-961d-dd78f300a7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42fa8-4433-4fda-af73-93244b2fe68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f9531a-171a-4a8c-9238-76865cf5ba36}" ma:internalName="TaxCatchAll" ma:showField="CatchAllData" ma:web="c7e42fa8-4433-4fda-af73-93244b2fe6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e42fa8-4433-4fda-af73-93244b2fe68b" xsi:nil="true"/>
    <lcf76f155ced4ddcb4097134ff3c332f xmlns="f691ce3f-0e4c-4d7e-9791-918f781cd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34B599-A48F-499F-B092-EA0490FF8702}"/>
</file>

<file path=customXml/itemProps2.xml><?xml version="1.0" encoding="utf-8"?>
<ds:datastoreItem xmlns:ds="http://schemas.openxmlformats.org/officeDocument/2006/customXml" ds:itemID="{E18E0BDC-719F-4E90-8D17-6F2B5309943A}"/>
</file>

<file path=customXml/itemProps3.xml><?xml version="1.0" encoding="utf-8"?>
<ds:datastoreItem xmlns:ds="http://schemas.openxmlformats.org/officeDocument/2006/customXml" ds:itemID="{A71F9BAE-F12C-4F27-B243-84A0554553F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2026-05-20T18:27:23Z</dcterms:created>
  <dcterms:modified xsi:type="dcterms:W3CDTF">2026-05-20T18:27:23Z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0x0101003EB79515041BFC4EB4581FB993DA8C68</vt:lpwstr>
  </property>
</Properties>
</file>